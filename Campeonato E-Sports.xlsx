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<sst xmlns="http://schemas.openxmlformats.org/spreadsheetml/2006/main" count="29" uniqueCount="21">
  <si>
    <t>TORNEIO DE E-SPORTS</t>
  </si>
  <si>
    <t>CUSTOS</t>
  </si>
  <si>
    <t>RECEITAS</t>
  </si>
  <si>
    <t>Item</t>
  </si>
  <si>
    <t>Quantidade</t>
  </si>
  <si>
    <t>Valor</t>
  </si>
  <si>
    <t>Total</t>
  </si>
  <si>
    <t>Fonte</t>
  </si>
  <si>
    <t>Aluguel de consoles</t>
  </si>
  <si>
    <t>Inscrição dos alunos</t>
  </si>
  <si>
    <t>Garrafas de água</t>
  </si>
  <si>
    <t>Total de Custos</t>
  </si>
  <si>
    <t>TOTAL</t>
  </si>
  <si>
    <t>CUSTO REAL POR ALUNO</t>
  </si>
  <si>
    <t>PRÊMIO DO CAMPEÃO</t>
  </si>
  <si>
    <t>Número de Alunos</t>
  </si>
  <si>
    <t>Valor das Inscrições</t>
  </si>
  <si>
    <t>Porcentagem do Valor</t>
  </si>
  <si>
    <t>SALDO FINAL</t>
  </si>
  <si>
    <t>Total Arrecadado</t>
  </si>
  <si>
    <t>Prêmio do Campeão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</si>
</sst>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1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color theme="1"/>
      <name val="Arial"/>
      <scheme val="minor"/>
    </font>
    <font>
      <b/>
      <color rgb="FFFFFFFF"/>
      <name val="Merriweather"/>
    </font>
    <font>
      <color rgb="FF000000"/>
      <name val="Merriweathe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Merriweather"/>
    </font>
    <font>
      <color rgb="FFFFFFFF"/>
      <name val="Arial"/>
      <scheme val="minor"/>
    </font>
    <font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90000"/>
        <bgColor rgb="FF99000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741B47"/>
        <bgColor rgb="FF741B47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3" fontId="4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4" fillId="5" fontId="6" numFmtId="0" xfId="0" applyAlignment="1" applyBorder="1" applyFont="1">
      <alignment horizontal="center" readingOrder="0"/>
    </xf>
    <xf borderId="4" fillId="5" fontId="6" numFmtId="164" xfId="0" applyAlignment="1" applyBorder="1" applyFont="1" applyNumberForma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4" fillId="6" fontId="7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4" fillId="7" fontId="3" numFmtId="0" xfId="0" applyAlignment="1" applyBorder="1" applyFont="1">
      <alignment horizontal="center" readingOrder="0"/>
    </xf>
    <xf borderId="4" fillId="7" fontId="3" numFmtId="164" xfId="0" applyAlignment="1" applyBorder="1" applyFont="1" applyNumberFormat="1">
      <alignment horizontal="center" readingOrder="0"/>
    </xf>
    <xf borderId="4" fillId="7" fontId="3" numFmtId="164" xfId="0" applyAlignment="1" applyBorder="1" applyFont="1" applyNumberFormat="1">
      <alignment horizontal="center"/>
    </xf>
    <xf borderId="1" fillId="8" fontId="3" numFmtId="0" xfId="0" applyAlignment="1" applyBorder="1" applyFill="1" applyFont="1">
      <alignment horizontal="center" readingOrder="0"/>
    </xf>
    <xf borderId="4" fillId="8" fontId="3" numFmtId="0" xfId="0" applyAlignment="1" applyBorder="1" applyFont="1">
      <alignment horizontal="center" readingOrder="0"/>
    </xf>
    <xf borderId="4" fillId="8" fontId="3" numFmtId="164" xfId="0" applyAlignment="1" applyBorder="1" applyFont="1" applyNumberFormat="1">
      <alignment horizontal="center" readingOrder="0"/>
    </xf>
    <xf borderId="4" fillId="8" fontId="3" numFmtId="164" xfId="0" applyAlignment="1" applyBorder="1" applyFont="1" applyNumberFormat="1">
      <alignment horizontal="center"/>
    </xf>
    <xf borderId="1" fillId="8" fontId="3" numFmtId="0" xfId="0" applyAlignment="1" applyBorder="1" applyFont="1">
      <alignment horizontal="center"/>
    </xf>
    <xf borderId="4" fillId="8" fontId="3" numFmtId="0" xfId="0" applyAlignment="1" applyBorder="1" applyFont="1">
      <alignment horizontal="center"/>
    </xf>
    <xf borderId="1" fillId="7" fontId="6" numFmtId="0" xfId="0" applyAlignment="1" applyBorder="1" applyFont="1">
      <alignment horizontal="center" readingOrder="0"/>
    </xf>
    <xf borderId="1" fillId="8" fontId="6" numFmtId="0" xfId="0" applyAlignment="1" applyBorder="1" applyFont="1">
      <alignment horizontal="center" readingOrder="0"/>
    </xf>
    <xf borderId="1" fillId="9" fontId="8" numFmtId="0" xfId="0" applyAlignment="1" applyBorder="1" applyFill="1" applyFont="1">
      <alignment horizontal="center" readingOrder="0"/>
    </xf>
    <xf borderId="1" fillId="10" fontId="4" numFmtId="0" xfId="0" applyAlignment="1" applyBorder="1" applyFill="1" applyFont="1">
      <alignment horizontal="center" readingOrder="0"/>
    </xf>
    <xf borderId="1" fillId="11" fontId="7" numFmtId="0" xfId="0" applyAlignment="1" applyBorder="1" applyFill="1" applyFont="1">
      <alignment horizontal="center" readingOrder="0"/>
    </xf>
    <xf borderId="4" fillId="11" fontId="7" numFmtId="0" xfId="0" applyAlignment="1" applyBorder="1" applyFont="1">
      <alignment horizontal="center" readingOrder="0"/>
    </xf>
    <xf borderId="1" fillId="12" fontId="7" numFmtId="0" xfId="0" applyAlignment="1" applyBorder="1" applyFill="1" applyFont="1">
      <alignment horizontal="center" readingOrder="0"/>
    </xf>
    <xf borderId="4" fillId="12" fontId="7" numFmtId="0" xfId="0" applyAlignment="1" applyBorder="1" applyFont="1">
      <alignment horizontal="center" readingOrder="0"/>
    </xf>
    <xf borderId="1" fillId="13" fontId="9" numFmtId="164" xfId="0" applyAlignment="1" applyBorder="1" applyFill="1" applyFont="1" applyNumberFormat="1">
      <alignment horizontal="center"/>
    </xf>
    <xf borderId="1" fillId="13" fontId="9" numFmtId="0" xfId="0" applyAlignment="1" applyBorder="1" applyFont="1">
      <alignment horizontal="center"/>
    </xf>
    <xf borderId="4" fillId="13" fontId="9" numFmtId="164" xfId="0" applyAlignment="1" applyBorder="1" applyFont="1" applyNumberFormat="1">
      <alignment horizontal="center"/>
    </xf>
    <xf borderId="1" fillId="14" fontId="10" numFmtId="164" xfId="0" applyAlignment="1" applyBorder="1" applyFill="1" applyFont="1" applyNumberFormat="1">
      <alignment horizontal="center"/>
    </xf>
    <xf borderId="1" fillId="14" fontId="10" numFmtId="9" xfId="0" applyAlignment="1" applyBorder="1" applyFont="1" applyNumberFormat="1">
      <alignment horizontal="center" readingOrder="0"/>
    </xf>
    <xf borderId="4" fillId="14" fontId="10" numFmtId="164" xfId="0" applyAlignment="1" applyBorder="1" applyFont="1" applyNumberFormat="1">
      <alignment horizontal="center"/>
    </xf>
    <xf borderId="1" fillId="15" fontId="6" numFmtId="0" xfId="0" applyAlignment="1" applyBorder="1" applyFill="1" applyFont="1">
      <alignment horizontal="center" readingOrder="0"/>
    </xf>
    <xf borderId="1" fillId="16" fontId="6" numFmtId="0" xfId="0" applyAlignment="1" applyBorder="1" applyFill="1" applyFont="1">
      <alignment horizontal="center" readingOrder="0"/>
    </xf>
    <xf borderId="4" fillId="16" fontId="6" numFmtId="0" xfId="0" applyAlignment="1" applyBorder="1" applyFont="1">
      <alignment horizontal="center" readingOrder="0"/>
    </xf>
    <xf borderId="1" fillId="17" fontId="3" numFmtId="164" xfId="0" applyAlignment="1" applyBorder="1" applyFill="1" applyFont="1" applyNumberFormat="1">
      <alignment horizontal="center"/>
    </xf>
    <xf borderId="4" fillId="17" fontId="3" numFmtId="164" xfId="0" applyAlignment="1" applyBorder="1" applyFont="1" applyNumberFormat="1">
      <alignment horizontal="center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4"/>
      <c r="D2" s="4"/>
      <c r="E2" s="5"/>
      <c r="F2" s="4"/>
      <c r="G2" s="5"/>
      <c r="H2" s="4"/>
      <c r="I2" s="4"/>
      <c r="J2" s="4"/>
      <c r="K2" s="4"/>
    </row>
    <row r="3">
      <c r="A3" s="6" t="s">
        <v>1</v>
      </c>
      <c r="B3" s="2"/>
      <c r="C3" s="2"/>
      <c r="D3" s="2"/>
      <c r="E3" s="3"/>
      <c r="F3" s="7"/>
      <c r="G3" s="8" t="s">
        <v>2</v>
      </c>
      <c r="H3" s="2"/>
      <c r="I3" s="2"/>
      <c r="J3" s="2"/>
      <c r="K3" s="3"/>
    </row>
    <row r="4">
      <c r="A4" s="9" t="s">
        <v>3</v>
      </c>
      <c r="B4" s="3"/>
      <c r="C4" s="10" t="s">
        <v>4</v>
      </c>
      <c r="D4" s="10" t="s">
        <v>5</v>
      </c>
      <c r="E4" s="11" t="s">
        <v>6</v>
      </c>
      <c r="F4" s="4"/>
      <c r="G4" s="12" t="s">
        <v>7</v>
      </c>
      <c r="H4" s="3"/>
      <c r="I4" s="13" t="s">
        <v>4</v>
      </c>
      <c r="J4" s="13" t="s">
        <v>5</v>
      </c>
      <c r="K4" s="13" t="s">
        <v>6</v>
      </c>
    </row>
    <row r="5">
      <c r="A5" s="14" t="s">
        <v>8</v>
      </c>
      <c r="B5" s="3"/>
      <c r="C5" s="15">
        <v>5.0</v>
      </c>
      <c r="D5" s="16">
        <v>100.0</v>
      </c>
      <c r="E5" s="17">
        <f t="shared" ref="E5:E6" si="1">C5*D5</f>
        <v>500</v>
      </c>
      <c r="F5" s="4"/>
      <c r="G5" s="18" t="s">
        <v>9</v>
      </c>
      <c r="H5" s="3"/>
      <c r="I5" s="19">
        <v>40.0</v>
      </c>
      <c r="J5" s="20">
        <v>25.0</v>
      </c>
      <c r="K5" s="21">
        <f>I5*J5</f>
        <v>1000</v>
      </c>
    </row>
    <row r="6">
      <c r="A6" s="14" t="s">
        <v>10</v>
      </c>
      <c r="B6" s="3"/>
      <c r="C6" s="15">
        <v>80.0</v>
      </c>
      <c r="D6" s="16">
        <v>2.0</v>
      </c>
      <c r="E6" s="17">
        <f t="shared" si="1"/>
        <v>160</v>
      </c>
      <c r="F6" s="4"/>
      <c r="G6" s="22"/>
      <c r="H6" s="3"/>
      <c r="I6" s="23"/>
      <c r="J6" s="23"/>
      <c r="K6" s="23"/>
    </row>
    <row r="7">
      <c r="A7" s="24" t="s">
        <v>11</v>
      </c>
      <c r="B7" s="2"/>
      <c r="C7" s="2"/>
      <c r="D7" s="3"/>
      <c r="E7" s="17">
        <f>E5+E6</f>
        <v>660</v>
      </c>
      <c r="F7" s="4"/>
      <c r="G7" s="25" t="s">
        <v>12</v>
      </c>
      <c r="H7" s="2"/>
      <c r="I7" s="2"/>
      <c r="J7" s="3"/>
      <c r="K7" s="21">
        <f>I5*J5</f>
        <v>1000</v>
      </c>
    </row>
    <row r="8">
      <c r="A8" s="5"/>
      <c r="B8" s="5"/>
      <c r="C8" s="5"/>
      <c r="D8" s="4"/>
      <c r="E8" s="4"/>
      <c r="F8" s="4"/>
      <c r="G8" s="5"/>
      <c r="H8" s="4"/>
      <c r="I8" s="4"/>
      <c r="J8" s="4"/>
      <c r="K8" s="4"/>
    </row>
    <row r="9">
      <c r="A9" s="26" t="s">
        <v>13</v>
      </c>
      <c r="B9" s="2"/>
      <c r="C9" s="2"/>
      <c r="D9" s="2"/>
      <c r="E9" s="3"/>
      <c r="F9" s="4"/>
      <c r="G9" s="27" t="s">
        <v>14</v>
      </c>
      <c r="H9" s="2"/>
      <c r="I9" s="2"/>
      <c r="J9" s="2"/>
      <c r="K9" s="3"/>
    </row>
    <row r="10">
      <c r="A10" s="28" t="s">
        <v>11</v>
      </c>
      <c r="B10" s="3"/>
      <c r="C10" s="28" t="s">
        <v>15</v>
      </c>
      <c r="D10" s="3"/>
      <c r="E10" s="29" t="s">
        <v>6</v>
      </c>
      <c r="F10" s="4"/>
      <c r="G10" s="30" t="s">
        <v>16</v>
      </c>
      <c r="H10" s="3"/>
      <c r="I10" s="30" t="s">
        <v>17</v>
      </c>
      <c r="J10" s="3"/>
      <c r="K10" s="31" t="s">
        <v>6</v>
      </c>
    </row>
    <row r="11">
      <c r="A11" s="32">
        <f>E5+E6</f>
        <v>660</v>
      </c>
      <c r="B11" s="3"/>
      <c r="C11" s="33">
        <f>I5</f>
        <v>40</v>
      </c>
      <c r="D11" s="3"/>
      <c r="E11" s="34">
        <f>E7/I5</f>
        <v>16.5</v>
      </c>
      <c r="F11" s="4"/>
      <c r="G11" s="35">
        <f>K5</f>
        <v>1000</v>
      </c>
      <c r="H11" s="3"/>
      <c r="I11" s="36">
        <v>0.3</v>
      </c>
      <c r="J11" s="3"/>
      <c r="K11" s="37">
        <f>G11*I11</f>
        <v>300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4"/>
      <c r="B13" s="4"/>
      <c r="C13" s="4"/>
      <c r="D13" s="38" t="s">
        <v>18</v>
      </c>
      <c r="E13" s="2"/>
      <c r="F13" s="2"/>
      <c r="G13" s="2"/>
      <c r="H13" s="2"/>
      <c r="I13" s="3"/>
      <c r="J13" s="4"/>
      <c r="K13" s="4"/>
    </row>
    <row r="14">
      <c r="A14" s="4"/>
      <c r="B14" s="4"/>
      <c r="C14" s="4"/>
      <c r="D14" s="39" t="s">
        <v>19</v>
      </c>
      <c r="E14" s="3"/>
      <c r="F14" s="39" t="s">
        <v>20</v>
      </c>
      <c r="G14" s="3"/>
      <c r="H14" s="40" t="s">
        <v>11</v>
      </c>
      <c r="I14" s="40" t="s">
        <v>6</v>
      </c>
      <c r="J14" s="4"/>
      <c r="K14" s="4"/>
    </row>
    <row r="15">
      <c r="A15" s="4"/>
      <c r="B15" s="4"/>
      <c r="C15" s="5"/>
      <c r="D15" s="41">
        <f>K7</f>
        <v>1000</v>
      </c>
      <c r="E15" s="3"/>
      <c r="F15" s="41">
        <f>K11</f>
        <v>300</v>
      </c>
      <c r="G15" s="3"/>
      <c r="H15" s="42">
        <f>E7</f>
        <v>660</v>
      </c>
      <c r="I15" s="42">
        <f>D15-F15-H15</f>
        <v>40</v>
      </c>
      <c r="J15" s="4"/>
      <c r="K15" s="4"/>
    </row>
    <row r="16">
      <c r="A16" s="43"/>
      <c r="B16" s="43"/>
      <c r="C16" s="43"/>
      <c r="D16" s="43"/>
      <c r="E16" s="43"/>
      <c r="F16" s="43"/>
      <c r="G16" s="43"/>
      <c r="H16" s="4"/>
    </row>
    <row r="17">
      <c r="A17" s="44"/>
      <c r="C17" s="44"/>
      <c r="E17" s="4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</sheetData>
  <mergeCells count="26">
    <mergeCell ref="G5:H5"/>
    <mergeCell ref="G6:H6"/>
    <mergeCell ref="A1:K1"/>
    <mergeCell ref="A3:E3"/>
    <mergeCell ref="G3:K3"/>
    <mergeCell ref="A4:B4"/>
    <mergeCell ref="G4:H4"/>
    <mergeCell ref="A5:B5"/>
    <mergeCell ref="A6:B6"/>
    <mergeCell ref="A7:D7"/>
    <mergeCell ref="G7:J7"/>
    <mergeCell ref="A9:E9"/>
    <mergeCell ref="G9:K9"/>
    <mergeCell ref="C10:D10"/>
    <mergeCell ref="G10:H10"/>
    <mergeCell ref="I10:J10"/>
    <mergeCell ref="D14:E14"/>
    <mergeCell ref="D15:E15"/>
    <mergeCell ref="F15:G15"/>
    <mergeCell ref="A10:B10"/>
    <mergeCell ref="A11:B11"/>
    <mergeCell ref="C11:D11"/>
    <mergeCell ref="G11:H11"/>
    <mergeCell ref="I11:J11"/>
    <mergeCell ref="D13:I13"/>
    <mergeCell ref="F14:G14"/>
  </mergeCells>
  <drawing r:id="rId1"/>
</worksheet>
</file>